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eel Pawaskar\Desktop\Akshad\"/>
    </mc:Choice>
  </mc:AlternateContent>
  <xr:revisionPtr revIDLastSave="0" documentId="8_{0D71056A-6E5B-4F5D-BFEF-5898E2EBEB28}" xr6:coauthVersionLast="47" xr6:coauthVersionMax="47" xr10:uidLastSave="{00000000-0000-0000-0000-000000000000}"/>
  <bookViews>
    <workbookView xWindow="-108" yWindow="-108" windowWidth="23256" windowHeight="12456" activeTab="1" xr2:uid="{92354911-0DD0-4B54-8BD7-EFD799D94028}"/>
  </bookViews>
  <sheets>
    <sheet name="Question1" sheetId="1" r:id="rId1"/>
    <sheet name="Question2" sheetId="2" r:id="rId2"/>
  </sheets>
  <definedNames>
    <definedName name="Late_Days">Question1!$I$10:$I$24</definedName>
    <definedName name="Present_Days">Question1!$G$10:$G$24</definedName>
    <definedName name="Total_Days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  <c r="B75" i="1"/>
  <c r="B74" i="1"/>
  <c r="B73" i="1"/>
  <c r="B72" i="1"/>
  <c r="B71" i="1"/>
  <c r="B70" i="1"/>
  <c r="B69" i="1"/>
  <c r="D63" i="1"/>
  <c r="D62" i="1"/>
  <c r="D61" i="1"/>
  <c r="D60" i="1"/>
  <c r="D59" i="1"/>
  <c r="E49" i="1"/>
  <c r="E48" i="1"/>
  <c r="E47" i="1"/>
  <c r="E46" i="1"/>
  <c r="E45" i="1"/>
  <c r="E44" i="1"/>
  <c r="E38" i="1"/>
  <c r="E37" i="1"/>
  <c r="E36" i="1"/>
  <c r="E35" i="1"/>
  <c r="E34" i="1"/>
  <c r="E33" i="1"/>
  <c r="E32" i="1"/>
  <c r="E31" i="1"/>
  <c r="E30" i="1"/>
  <c r="E29" i="1"/>
  <c r="C84" i="2"/>
  <c r="D84" i="2"/>
  <c r="E84" i="2"/>
  <c r="C85" i="2"/>
  <c r="D85" i="2"/>
  <c r="E85" i="2"/>
  <c r="C86" i="2"/>
  <c r="D86" i="2"/>
  <c r="E86" i="2"/>
  <c r="C87" i="2"/>
  <c r="D87" i="2"/>
  <c r="E87" i="2"/>
  <c r="D83" i="2"/>
  <c r="E83" i="2"/>
  <c r="C83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<sst xmlns="http://schemas.openxmlformats.org/spreadsheetml/2006/main" count="427" uniqueCount="185">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</sst>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zoomScale="79" workbookViewId="0">
      <selection activeCell="C70" sqref="C70"/>
    </sheetView>
  </sheetViews>
  <sheetFormatPr defaultColWidth="9.09765625" defaultRowHeight="13.8"/>
  <cols>
    <col min="1" max="1" width="31.3984375" style="2" customWidth="1"/>
    <col min="2" max="2" width="17.59765625" style="2" customWidth="1"/>
    <col min="3" max="3" width="16.3984375" style="2" customWidth="1"/>
    <col min="4" max="4" width="33.8984375" style="2" customWidth="1"/>
    <col min="5" max="5" width="15.8984375" style="2" customWidth="1"/>
    <col min="6" max="6" width="9.09765625" style="2"/>
    <col min="7" max="7" width="14.3984375" style="2" customWidth="1"/>
    <col min="8" max="8" width="20.296875" style="2" customWidth="1"/>
    <col min="9" max="9" width="18.8984375" style="2" customWidth="1"/>
    <col min="10" max="10" width="16.59765625" style="2" customWidth="1"/>
    <col min="11" max="11" width="20.8984375" style="2" customWidth="1"/>
    <col min="12" max="12" width="14.09765625" style="2" customWidth="1"/>
    <col min="13" max="13" width="15.296875" style="2" customWidth="1"/>
    <col min="14" max="14" width="15.8984375" style="2" customWidth="1"/>
    <col min="15" max="16384" width="9.09765625" style="2"/>
  </cols>
  <sheetData>
    <row r="1" spans="1:20" ht="1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36"/>
      <c r="B2" s="36"/>
      <c r="C2" s="36"/>
      <c r="D2" s="36"/>
      <c r="E2" s="36"/>
      <c r="F2" s="36"/>
      <c r="G2" s="36"/>
      <c r="H2" s="36"/>
      <c r="I2" s="36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>
      <c r="A4" s="35" t="s">
        <v>1</v>
      </c>
      <c r="B4" s="35"/>
      <c r="C4" s="35"/>
    </row>
    <row r="5" spans="1:20" ht="15">
      <c r="A5" s="3" t="s">
        <v>2</v>
      </c>
    </row>
    <row r="6" spans="1:20" ht="15">
      <c r="A6" s="3" t="s">
        <v>3</v>
      </c>
    </row>
    <row r="7" spans="1:20" ht="15">
      <c r="A7" s="3" t="s">
        <v>4</v>
      </c>
    </row>
    <row r="9" spans="1:20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ht="15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ht="15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ht="15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ht="15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ht="15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ht="15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ht="15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ht="15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ht="15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ht="15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ht="15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ht="15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ht="15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ht="15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ht="15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5">
      <c r="A26" s="28" t="s">
        <v>52</v>
      </c>
      <c r="B26" s="28"/>
      <c r="C26" s="28"/>
      <c r="D26" s="28"/>
      <c r="E26" s="28"/>
      <c r="F26" s="28"/>
      <c r="G26" s="28"/>
      <c r="H26" s="28"/>
      <c r="I26" s="28"/>
      <c r="J26"/>
      <c r="K26"/>
      <c r="L26"/>
      <c r="M26"/>
      <c r="N26"/>
      <c r="O26"/>
      <c r="P26"/>
      <c r="Q26"/>
      <c r="R26"/>
      <c r="S26"/>
    </row>
    <row r="27" spans="1:19" ht="16.5" customHeight="1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>
      <c r="A28" s="34" t="s">
        <v>53</v>
      </c>
      <c r="B28" s="34"/>
      <c r="C28" s="34"/>
      <c r="D28" s="34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15">
      <c r="A29" s="29" t="s">
        <v>55</v>
      </c>
      <c r="B29" s="30"/>
      <c r="C29" s="30"/>
      <c r="D29" s="31"/>
      <c r="E29" s="1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5">
      <c r="A30" s="29" t="s">
        <v>56</v>
      </c>
      <c r="B30" s="30"/>
      <c r="C30" s="30"/>
      <c r="D30" s="31"/>
      <c r="E30" s="10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15">
      <c r="A31" s="29" t="s">
        <v>57</v>
      </c>
      <c r="B31" s="30"/>
      <c r="C31" s="30"/>
      <c r="D31" s="31"/>
      <c r="E31" s="1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15">
      <c r="A32" s="29" t="s">
        <v>58</v>
      </c>
      <c r="B32" s="30"/>
      <c r="C32" s="30"/>
      <c r="D32" s="31"/>
      <c r="E32" s="1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ht="15">
      <c r="A33" s="29" t="s">
        <v>59</v>
      </c>
      <c r="B33" s="30"/>
      <c r="C33" s="30"/>
      <c r="D33" s="31"/>
      <c r="E33" s="10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ht="15">
      <c r="A34" s="29" t="s">
        <v>60</v>
      </c>
      <c r="B34" s="30"/>
      <c r="C34" s="30"/>
      <c r="D34" s="31"/>
      <c r="E34" s="10">
        <f>COUNTA(C10:C24)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ht="15">
      <c r="A35" s="29" t="s">
        <v>61</v>
      </c>
      <c r="B35" s="30"/>
      <c r="C35" s="30"/>
      <c r="D35" s="31"/>
      <c r="E35" s="10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ht="15">
      <c r="A36" s="29" t="s">
        <v>62</v>
      </c>
      <c r="B36" s="30"/>
      <c r="C36" s="30"/>
      <c r="D36" s="31"/>
      <c r="E36" s="10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ht="15">
      <c r="A37" s="29" t="s">
        <v>63</v>
      </c>
      <c r="B37" s="30"/>
      <c r="C37" s="30"/>
      <c r="D37" s="31"/>
      <c r="E37" s="1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ht="15">
      <c r="A38" s="29" t="s">
        <v>64</v>
      </c>
      <c r="B38" s="30"/>
      <c r="C38" s="30"/>
      <c r="D38" s="31"/>
      <c r="E38" s="12">
        <f>AVERAGE(I10:I24)</f>
        <v>1.8</v>
      </c>
    </row>
    <row r="41" spans="1:19" ht="31.5">
      <c r="A41" s="28" t="s">
        <v>65</v>
      </c>
      <c r="B41" s="28"/>
      <c r="C41" s="28"/>
      <c r="D41" s="28"/>
      <c r="E41" s="28"/>
      <c r="F41" s="28"/>
      <c r="G41" s="28"/>
      <c r="H41" s="28"/>
      <c r="I41" s="28"/>
    </row>
    <row r="43" spans="1:19" ht="18.75">
      <c r="A43" s="34" t="s">
        <v>53</v>
      </c>
      <c r="B43" s="34"/>
      <c r="C43" s="34"/>
      <c r="D43" s="34"/>
      <c r="E43" s="9" t="s">
        <v>54</v>
      </c>
    </row>
    <row r="44" spans="1:19" ht="15">
      <c r="A44" s="29" t="s">
        <v>66</v>
      </c>
      <c r="B44" s="30"/>
      <c r="C44" s="30"/>
      <c r="D44" s="31"/>
      <c r="E44" s="12">
        <f>LARGE(G10:G24,2)</f>
        <v>20</v>
      </c>
    </row>
    <row r="45" spans="1:19" ht="15">
      <c r="A45" s="29" t="s">
        <v>67</v>
      </c>
      <c r="B45" s="30"/>
      <c r="C45" s="30"/>
      <c r="D45" s="31"/>
      <c r="E45" s="12">
        <f>LARGE(G10:G24,3)</f>
        <v>20</v>
      </c>
    </row>
    <row r="46" spans="1:19" ht="15">
      <c r="A46" s="29" t="s">
        <v>68</v>
      </c>
      <c r="B46" s="30"/>
      <c r="C46" s="30"/>
      <c r="D46" s="31"/>
      <c r="E46" s="12">
        <f>SMALL(G10:G24,2)</f>
        <v>14</v>
      </c>
    </row>
    <row r="47" spans="1:19" ht="15">
      <c r="A47" s="29" t="s">
        <v>69</v>
      </c>
      <c r="B47" s="30"/>
      <c r="C47" s="30"/>
      <c r="D47" s="31"/>
      <c r="E47" s="12">
        <f>SMALL(G10:G24,4)</f>
        <v>16</v>
      </c>
    </row>
    <row r="48" spans="1:19" ht="15">
      <c r="A48" s="29" t="s">
        <v>70</v>
      </c>
      <c r="B48" s="30"/>
      <c r="C48" s="30"/>
      <c r="D48" s="31"/>
      <c r="E48" s="12">
        <f>MAX(I10:I24)</f>
        <v>5</v>
      </c>
    </row>
    <row r="49" spans="1:9" ht="15">
      <c r="A49" s="29" t="s">
        <v>71</v>
      </c>
      <c r="B49" s="30"/>
      <c r="C49" s="30"/>
      <c r="D49" s="31"/>
      <c r="E49" s="12">
        <f>LARGE(I10:I24,2)</f>
        <v>4</v>
      </c>
    </row>
    <row r="50" spans="1:9" ht="15">
      <c r="A50"/>
      <c r="B50"/>
      <c r="C50"/>
      <c r="D50"/>
      <c r="E50"/>
    </row>
    <row r="51" spans="1:9" ht="31.5">
      <c r="A51" s="28" t="s">
        <v>72</v>
      </c>
      <c r="B51" s="28"/>
      <c r="C51" s="28"/>
      <c r="D51" s="28"/>
      <c r="E51" s="28"/>
      <c r="F51" s="28"/>
      <c r="G51" s="28"/>
      <c r="H51" s="28"/>
      <c r="I51" s="28"/>
    </row>
    <row r="53" spans="1:9" ht="15">
      <c r="A53" t="s">
        <v>73</v>
      </c>
    </row>
    <row r="54" spans="1:9" ht="15">
      <c r="A54" s="13" t="s">
        <v>74</v>
      </c>
    </row>
    <row r="55" spans="1:9" ht="15">
      <c r="A55" s="13" t="s">
        <v>75</v>
      </c>
    </row>
    <row r="56" spans="1:9" ht="15">
      <c r="A56" s="13" t="s">
        <v>76</v>
      </c>
    </row>
    <row r="57" spans="1:9" ht="15">
      <c r="A57"/>
    </row>
    <row r="58" spans="1:9" ht="15">
      <c r="A58" s="32" t="s">
        <v>77</v>
      </c>
      <c r="B58" s="32"/>
      <c r="C58" s="32"/>
      <c r="D58" s="14" t="s">
        <v>54</v>
      </c>
    </row>
    <row r="59" spans="1:9" ht="15">
      <c r="A59" s="33" t="s">
        <v>78</v>
      </c>
      <c r="B59" s="33"/>
      <c r="C59" s="33"/>
      <c r="D59" s="12">
        <f>SUM(Present_Days)</f>
        <v>260</v>
      </c>
    </row>
    <row r="60" spans="1:9" ht="15">
      <c r="A60" s="33" t="s">
        <v>79</v>
      </c>
      <c r="B60" s="33"/>
      <c r="C60" s="33"/>
      <c r="D60" s="12">
        <f>AVERAGE(Present_Days)</f>
        <v>17.333333333333332</v>
      </c>
    </row>
    <row r="61" spans="1:9" ht="15">
      <c r="A61" s="33" t="s">
        <v>80</v>
      </c>
      <c r="B61" s="33"/>
      <c r="C61" s="33"/>
      <c r="D61" s="12">
        <f>MAX(Present_Days)</f>
        <v>20</v>
      </c>
    </row>
    <row r="62" spans="1:9" ht="15">
      <c r="A62" s="33" t="s">
        <v>81</v>
      </c>
      <c r="B62" s="33"/>
      <c r="C62" s="33"/>
      <c r="D62" s="12">
        <f>MIN(Present_Days)</f>
        <v>13</v>
      </c>
    </row>
    <row r="63" spans="1:9" ht="15">
      <c r="A63" s="33" t="s">
        <v>82</v>
      </c>
      <c r="B63" s="33"/>
      <c r="C63" s="33"/>
      <c r="D63" s="12">
        <f>LARGE(Present_Days,3)</f>
        <v>20</v>
      </c>
    </row>
    <row r="66" spans="1:9" ht="31.5">
      <c r="A66" s="28" t="s">
        <v>83</v>
      </c>
      <c r="B66" s="28"/>
      <c r="C66" s="28"/>
      <c r="D66" s="28"/>
      <c r="E66" s="28"/>
      <c r="F66" s="28"/>
      <c r="G66" s="28"/>
      <c r="H66" s="28"/>
      <c r="I66" s="28"/>
    </row>
    <row r="68" spans="1:9" ht="15">
      <c r="A68" s="15" t="s">
        <v>84</v>
      </c>
      <c r="B68" s="14" t="s">
        <v>85</v>
      </c>
    </row>
    <row r="69" spans="1:9" ht="15">
      <c r="A69" s="16" t="s">
        <v>86</v>
      </c>
      <c r="B69" s="17">
        <f>COUNTA(C10:C24)</f>
        <v>15</v>
      </c>
    </row>
    <row r="70" spans="1:9" ht="15">
      <c r="A70" s="16" t="s">
        <v>87</v>
      </c>
      <c r="B70" s="17">
        <f>SUM(Present_Days)</f>
        <v>260</v>
      </c>
    </row>
    <row r="71" spans="1:9" ht="15">
      <c r="A71" s="16" t="s">
        <v>88</v>
      </c>
      <c r="B71" s="17">
        <f>SUM(Total_Days)</f>
        <v>300</v>
      </c>
    </row>
    <row r="72" spans="1:9" ht="15">
      <c r="A72" s="16" t="s">
        <v>89</v>
      </c>
      <c r="B72" s="17">
        <f>AVERAGE(Present_Days)</f>
        <v>17.333333333333332</v>
      </c>
    </row>
    <row r="73" spans="1:9" ht="15">
      <c r="A73" s="16" t="s">
        <v>90</v>
      </c>
      <c r="B73" s="10">
        <f>MAX(Present_Days)</f>
        <v>20</v>
      </c>
    </row>
    <row r="74" spans="1:9" ht="15">
      <c r="A74" s="16" t="s">
        <v>91</v>
      </c>
      <c r="B74" s="17">
        <f>MIN(Present_Days)</f>
        <v>13</v>
      </c>
    </row>
    <row r="75" spans="1:9" ht="15">
      <c r="A75" s="16" t="s">
        <v>92</v>
      </c>
      <c r="B75" s="17">
        <f>MAX(Late_Days)</f>
        <v>5</v>
      </c>
    </row>
    <row r="76" spans="1:9" ht="15">
      <c r="A76" s="16" t="s">
        <v>93</v>
      </c>
      <c r="B76" s="17">
        <f>MIN(Late_Days)</f>
        <v>0</v>
      </c>
    </row>
    <row r="77" spans="1:9" ht="15">
      <c r="A77" s="16" t="s">
        <v>94</v>
      </c>
      <c r="B77" s="17">
        <f>AVERAGE(Late_Days)</f>
        <v>1.8</v>
      </c>
    </row>
    <row r="78" spans="1:9" ht="15">
      <c r="A78" s="16" t="s">
        <v>95</v>
      </c>
      <c r="B78" s="17">
        <f>LARGE(Present_Days,2)</f>
        <v>20</v>
      </c>
    </row>
    <row r="79" spans="1:9" ht="15">
      <c r="A79" s="16" t="s">
        <v>96</v>
      </c>
      <c r="B79" s="10">
        <f>LARGE(Present_Days,3)</f>
        <v>20</v>
      </c>
    </row>
    <row r="80" spans="1:9" ht="15">
      <c r="A80" s="16" t="s">
        <v>97</v>
      </c>
      <c r="B80" s="17">
        <f>SMALL(Present_Days,2)</f>
        <v>14</v>
      </c>
    </row>
    <row r="81" spans="1:2" ht="15">
      <c r="A81" s="16" t="s">
        <v>98</v>
      </c>
      <c r="B81" s="10">
        <f>COUNTA(C10:C24)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workbookViewId="0">
      <selection activeCell="F84" sqref="F84"/>
    </sheetView>
  </sheetViews>
  <sheetFormatPr defaultRowHeight="13.8"/>
  <cols>
    <col min="1" max="1" width="19.09765625" customWidth="1"/>
    <col min="2" max="2" width="20.8984375" customWidth="1"/>
    <col min="3" max="3" width="26.3984375" customWidth="1"/>
    <col min="4" max="4" width="19.8984375" customWidth="1"/>
    <col min="5" max="5" width="22.8984375" customWidth="1"/>
    <col min="6" max="6" width="28.09765625" customWidth="1"/>
    <col min="7" max="7" width="18.09765625" customWidth="1"/>
    <col min="8" max="8" width="16.3984375" customWidth="1"/>
    <col min="9" max="9" width="19.09765625" customWidth="1"/>
    <col min="10" max="10" width="14.59765625" customWidth="1"/>
    <col min="11" max="11" width="23.296875" customWidth="1"/>
    <col min="12" max="12" width="12.3984375" customWidth="1"/>
  </cols>
  <sheetData>
    <row r="1" spans="1:9">
      <c r="A1" s="37" t="s">
        <v>179</v>
      </c>
      <c r="B1" s="37"/>
      <c r="C1" s="37"/>
      <c r="D1" s="37"/>
      <c r="E1" s="37"/>
      <c r="F1" s="37"/>
      <c r="G1" s="37"/>
      <c r="H1" s="37"/>
      <c r="I1" s="37"/>
    </row>
    <row r="2" spans="1:9">
      <c r="A2" s="37"/>
      <c r="B2" s="37"/>
      <c r="C2" s="37"/>
      <c r="D2" s="37"/>
      <c r="E2" s="37"/>
      <c r="F2" s="37"/>
      <c r="G2" s="37"/>
      <c r="H2" s="37"/>
      <c r="I2" s="37"/>
    </row>
    <row r="3" spans="1:9" ht="15">
      <c r="A3" t="s">
        <v>180</v>
      </c>
    </row>
    <row r="5" spans="1:9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</row>
    <row r="6" spans="1:9" ht="15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ht="15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ht="15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ht="15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ht="15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ht="15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ht="15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ht="15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ht="15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ht="15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ht="15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ht="15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ht="15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ht="15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ht="15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>
      <c r="A22" t="s">
        <v>184</v>
      </c>
    </row>
    <row r="24" spans="1:11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ht="15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>
        <f>H25*G25</f>
        <v>598</v>
      </c>
      <c r="K25" s="2"/>
    </row>
    <row r="26" spans="1:11" ht="15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>
        <f t="shared" ref="J26:J39" si="0">H26*G26</f>
        <v>447</v>
      </c>
      <c r="K26" s="2"/>
    </row>
    <row r="27" spans="1:11" ht="15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>
        <f t="shared" si="0"/>
        <v>360</v>
      </c>
      <c r="K27" s="2"/>
    </row>
    <row r="28" spans="1:11" ht="15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>
        <f t="shared" si="0"/>
        <v>480</v>
      </c>
      <c r="K28" s="2"/>
    </row>
    <row r="29" spans="1:11" ht="15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>
        <f t="shared" si="0"/>
        <v>399</v>
      </c>
      <c r="K29" s="2"/>
    </row>
    <row r="30" spans="1:11" ht="15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>
        <f t="shared" si="0"/>
        <v>398</v>
      </c>
      <c r="K30" s="2"/>
    </row>
    <row r="31" spans="1:11" ht="15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>
        <f t="shared" si="0"/>
        <v>480</v>
      </c>
      <c r="K31" s="2"/>
    </row>
    <row r="32" spans="1:11" ht="15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>
        <f t="shared" si="0"/>
        <v>998</v>
      </c>
      <c r="K32" s="2"/>
    </row>
    <row r="33" spans="1:14" ht="15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>
        <f t="shared" si="0"/>
        <v>440</v>
      </c>
      <c r="K33" s="2"/>
    </row>
    <row r="34" spans="1:14" ht="15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>
        <f t="shared" si="0"/>
        <v>299</v>
      </c>
      <c r="K34" s="2"/>
    </row>
    <row r="35" spans="1:14" ht="15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>
        <f t="shared" si="0"/>
        <v>498</v>
      </c>
      <c r="K35" s="2"/>
    </row>
    <row r="36" spans="1:14" ht="15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>
        <f t="shared" si="0"/>
        <v>320</v>
      </c>
      <c r="K36" s="2"/>
    </row>
    <row r="37" spans="1:14" ht="15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>
        <f t="shared" si="0"/>
        <v>449</v>
      </c>
      <c r="K37" s="2"/>
    </row>
    <row r="38" spans="1:14" ht="15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>
        <f t="shared" si="0"/>
        <v>450</v>
      </c>
      <c r="K38" s="2"/>
    </row>
    <row r="39" spans="1:14" ht="15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>
        <f t="shared" si="0"/>
        <v>380</v>
      </c>
      <c r="K39" s="2"/>
    </row>
    <row r="41" spans="1:14" ht="15">
      <c r="A41" t="s">
        <v>163</v>
      </c>
    </row>
    <row r="42" spans="1:14" ht="15">
      <c r="A42" t="s">
        <v>164</v>
      </c>
    </row>
    <row r="43" spans="1:14" ht="15">
      <c r="A43" s="19" t="s">
        <v>165</v>
      </c>
    </row>
    <row r="44" spans="1:14">
      <c r="A44" s="19" t="s">
        <v>166</v>
      </c>
    </row>
    <row r="46" spans="1:14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</row>
    <row r="47" spans="1:14" ht="15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>
        <f>J47*$N$48</f>
        <v>59.800000000000004</v>
      </c>
    </row>
    <row r="48" spans="1:14" ht="15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>
        <f t="shared" ref="K48:K61" si="1">J48*$N$48</f>
        <v>44.7</v>
      </c>
      <c r="M48" s="14" t="s">
        <v>167</v>
      </c>
      <c r="N48" s="21">
        <v>0.1</v>
      </c>
    </row>
    <row r="49" spans="1:11" ht="15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>
        <f t="shared" si="1"/>
        <v>36</v>
      </c>
    </row>
    <row r="50" spans="1:11" ht="15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>
        <f t="shared" si="1"/>
        <v>48</v>
      </c>
    </row>
    <row r="51" spans="1:11" ht="15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>
        <f t="shared" si="1"/>
        <v>39.900000000000006</v>
      </c>
    </row>
    <row r="52" spans="1:11" ht="15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>
        <f t="shared" si="1"/>
        <v>39.800000000000004</v>
      </c>
    </row>
    <row r="53" spans="1:11" ht="15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>
        <f t="shared" si="1"/>
        <v>48</v>
      </c>
    </row>
    <row r="54" spans="1:11" ht="15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>
        <f t="shared" si="1"/>
        <v>99.800000000000011</v>
      </c>
    </row>
    <row r="55" spans="1:11" ht="15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>
        <f t="shared" si="1"/>
        <v>44</v>
      </c>
    </row>
    <row r="56" spans="1:11" ht="15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>
        <f t="shared" si="1"/>
        <v>29.900000000000002</v>
      </c>
    </row>
    <row r="57" spans="1:11" ht="15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>
        <f t="shared" si="1"/>
        <v>49.800000000000004</v>
      </c>
    </row>
    <row r="58" spans="1:11" ht="15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>
        <f t="shared" si="1"/>
        <v>32</v>
      </c>
    </row>
    <row r="59" spans="1:11" ht="15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>
        <f t="shared" si="1"/>
        <v>44.900000000000006</v>
      </c>
    </row>
    <row r="60" spans="1:11" ht="15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>
        <f t="shared" si="1"/>
        <v>45</v>
      </c>
    </row>
    <row r="61" spans="1:11" ht="15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>
        <f t="shared" si="1"/>
        <v>38</v>
      </c>
    </row>
    <row r="63" spans="1:11" ht="24">
      <c r="A63" s="25" t="s">
        <v>169</v>
      </c>
    </row>
    <row r="65" spans="1:5" ht="15">
      <c r="A65" t="s">
        <v>171</v>
      </c>
    </row>
    <row r="66" spans="1:5" ht="15">
      <c r="A66" t="s">
        <v>181</v>
      </c>
    </row>
    <row r="68" spans="1:5" ht="18">
      <c r="A68" s="24" t="s">
        <v>170</v>
      </c>
      <c r="B68" s="15" t="s">
        <v>103</v>
      </c>
      <c r="C68" s="23" t="s">
        <v>170</v>
      </c>
    </row>
    <row r="69" spans="1:5" ht="15">
      <c r="A69" s="22"/>
      <c r="B69" s="17" t="s">
        <v>110</v>
      </c>
      <c r="C69" s="26">
        <v>299</v>
      </c>
    </row>
    <row r="70" spans="1:5" ht="15">
      <c r="A70" s="22"/>
      <c r="B70" s="17" t="s">
        <v>115</v>
      </c>
      <c r="C70" s="26">
        <v>149</v>
      </c>
    </row>
    <row r="71" spans="1:5" ht="15">
      <c r="A71" s="22"/>
      <c r="B71" s="17" t="s">
        <v>120</v>
      </c>
      <c r="C71" s="26">
        <v>180</v>
      </c>
    </row>
    <row r="72" spans="1:5" ht="15">
      <c r="A72" s="22"/>
      <c r="B72" s="17" t="s">
        <v>125</v>
      </c>
      <c r="C72" s="26">
        <v>120</v>
      </c>
    </row>
    <row r="73" spans="1:5" ht="15">
      <c r="A73" s="22"/>
      <c r="B73" s="17" t="s">
        <v>128</v>
      </c>
      <c r="C73" s="26">
        <v>399</v>
      </c>
    </row>
    <row r="75" spans="1:5" ht="18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ht="15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ht="15">
      <c r="B77" s="22"/>
      <c r="C77" s="27"/>
      <c r="D77" s="27"/>
      <c r="E77" s="27"/>
    </row>
    <row r="78" spans="1:5" ht="15">
      <c r="A78" s="18" t="s">
        <v>183</v>
      </c>
      <c r="B78" s="22"/>
      <c r="C78" s="27"/>
      <c r="D78" s="27"/>
      <c r="E78" s="27"/>
    </row>
    <row r="79" spans="1:5" ht="15">
      <c r="A79" t="s">
        <v>182</v>
      </c>
    </row>
    <row r="80" spans="1:5">
      <c r="A80" t="s">
        <v>178</v>
      </c>
    </row>
    <row r="82" spans="1:11" ht="18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>
      <c r="B83" s="17" t="s">
        <v>110</v>
      </c>
      <c r="C83" s="26">
        <f>$C69*C$76</f>
        <v>299</v>
      </c>
      <c r="D83" s="26">
        <f t="shared" ref="D83:E83" si="2">$C69*D$76</f>
        <v>313.95</v>
      </c>
      <c r="E83" s="26">
        <f t="shared" si="2"/>
        <v>328.90000000000003</v>
      </c>
    </row>
    <row r="84" spans="1:11">
      <c r="B84" s="17" t="s">
        <v>115</v>
      </c>
      <c r="C84" s="26">
        <f t="shared" ref="C84:E84" si="3">$C70*C$76</f>
        <v>149</v>
      </c>
      <c r="D84" s="26">
        <f t="shared" si="3"/>
        <v>156.45000000000002</v>
      </c>
      <c r="E84" s="26">
        <f t="shared" si="3"/>
        <v>163.9</v>
      </c>
    </row>
    <row r="85" spans="1:11">
      <c r="B85" s="17" t="s">
        <v>120</v>
      </c>
      <c r="C85" s="26">
        <f t="shared" ref="C85:E85" si="4">$C71*C$76</f>
        <v>180</v>
      </c>
      <c r="D85" s="26">
        <f t="shared" si="4"/>
        <v>189</v>
      </c>
      <c r="E85" s="26">
        <f t="shared" si="4"/>
        <v>198.00000000000003</v>
      </c>
    </row>
    <row r="86" spans="1:11">
      <c r="B86" s="17" t="s">
        <v>125</v>
      </c>
      <c r="C86" s="26">
        <f t="shared" ref="C86:E86" si="5">$C72*C$76</f>
        <v>120</v>
      </c>
      <c r="D86" s="26">
        <f t="shared" si="5"/>
        <v>126</v>
      </c>
      <c r="E86" s="26">
        <f t="shared" si="5"/>
        <v>132</v>
      </c>
    </row>
    <row r="87" spans="1:11">
      <c r="B87" s="17" t="s">
        <v>128</v>
      </c>
      <c r="C87" s="26">
        <f t="shared" ref="C87:E87" si="6">$C73*C$76</f>
        <v>399</v>
      </c>
      <c r="D87" s="26">
        <f t="shared" si="6"/>
        <v>418.95000000000005</v>
      </c>
      <c r="E87" s="26">
        <f t="shared" si="6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Late_Days</vt:lpstr>
      <vt:lpstr>Present_Days</vt:lpstr>
      <vt:lpstr>Total_Days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2026-07-17T08:21:08Z</dcterms:created>
  <dcterms:modified xsi:type="dcterms:W3CDTF">2026-08-06T15:01:00Z</dcterms:modified>
</cp:coreProperties>
</file>